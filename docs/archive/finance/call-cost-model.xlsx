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"/>
    <numFmt numFmtId="165" formatCode="$0.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475569"/>
      <sz val="9"/>
    </font>
    <font>
      <name val="Arial"/>
      <b val="1"/>
      <color rgb="00065F46"/>
      <sz val="12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065F46"/>
      <sz val="10"/>
    </font>
    <font>
      <name val="Arial"/>
      <b val="1"/>
      <color rgb="000F172A"/>
      <sz val="10"/>
    </font>
    <font>
      <name val="Arial"/>
      <color rgb="00475569"/>
      <sz val="9"/>
    </font>
    <font>
      <name val="Arial"/>
      <color rgb="000F172A"/>
      <sz val="10"/>
    </font>
    <font>
      <name val="Arial"/>
      <b val="1"/>
      <color rgb="00FFFFFF"/>
      <sz val="12"/>
    </font>
    <font>
      <name val="Arial"/>
      <b val="1"/>
      <color rgb="0015803D"/>
      <sz val="10"/>
    </font>
  </fonts>
  <fills count="9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wrapText="1" indent="1"/>
    </xf>
    <xf numFmtId="164" fontId="10" fillId="4" borderId="0" applyAlignment="1" pivotButton="0" quotePrefix="0" xfId="0">
      <alignment horizontal="right" vertical="center" indent="1"/>
    </xf>
    <xf numFmtId="0" fontId="8" fillId="8" borderId="0" applyAlignment="1" pivotButton="0" quotePrefix="0" xfId="0">
      <alignment horizontal="right" vertical="center" indent="1"/>
    </xf>
    <xf numFmtId="164" fontId="8" fillId="8" borderId="0" applyAlignment="1" pivotButton="0" quotePrefix="0" xfId="0">
      <alignment horizontal="right" vertical="center" indent="1"/>
    </xf>
    <xf numFmtId="0" fontId="11" fillId="2" borderId="0" applyAlignment="1" pivotButton="0" quotePrefix="0" xfId="0">
      <alignment horizontal="right" vertical="center" indent="1"/>
    </xf>
    <xf numFmtId="164" fontId="11" fillId="2" borderId="0" applyAlignment="1" pivotButton="0" quotePrefix="0" xfId="0">
      <alignment horizontal="right" vertical="center" indent="1"/>
    </xf>
    <xf numFmtId="0" fontId="7" fillId="3" borderId="0" applyAlignment="1" pivotButton="0" quotePrefix="0" xfId="0">
      <alignment horizontal="right" vertical="center" indent="1"/>
    </xf>
    <xf numFmtId="164" fontId="7" fillId="3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left" vertical="center" indent="1"/>
    </xf>
    <xf numFmtId="1" fontId="12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12" fillId="7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1" fontId="1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1" customWidth="1" min="1" max="1"/>
    <col width="56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📞  Cost to Serve One Call</t>
        </is>
      </c>
    </row>
    <row r="2" ht="20" customHeight="1">
      <c r="A2" s="2" t="inlineStr">
        <is>
          <t>Pick a call type below — every number updates live. Columns = seconds talking to a human.</t>
        </is>
      </c>
    </row>
    <row r="4" ht="24" customHeight="1">
      <c r="A4" s="3" t="inlineStr">
        <is>
          <t>CALL TYPE</t>
        </is>
      </c>
      <c r="B4" s="4" t="inlineStr">
        <is>
          <t>VOICE (voice only tree - CVS)</t>
        </is>
      </c>
    </row>
    <row r="5">
      <c r="A5" s="5">
        <f>"ℹ︎  This type reaches a human in about "&amp;$B$25&amp;" seconds, then talks for the time in each column."</f>
        <v/>
      </c>
    </row>
    <row r="6">
      <c r="A6" s="6" t="inlineStr">
        <is>
          <t>①   REACH THE HUMAN     ·  same cost no matter how long you talk</t>
        </is>
      </c>
    </row>
    <row r="7" ht="34" customHeight="1">
      <c r="A7" s="7" t="inlineStr">
        <is>
          <t>Twilio Speech-to-Text</t>
        </is>
      </c>
      <c r="B7" s="8" t="inlineStr">
        <is>
          <t>The cheap navigator's EARS — transcribes the store's spoken menu so Haiku can read it.</t>
        </is>
      </c>
      <c r="C7" s="9">
        <f>IF($B$35=1,$B$25*$B$27/60,0)</f>
        <v/>
      </c>
      <c r="D7" s="9">
        <f>IF($B$35=1,$B$25*$B$27/60,0)</f>
        <v/>
      </c>
      <c r="E7" s="9">
        <f>IF($B$35=1,$B$25*$B$27/60,0)</f>
        <v/>
      </c>
    </row>
    <row r="8" ht="34" customHeight="1">
      <c r="A8" s="10" t="inlineStr">
        <is>
          <t>Claude Haiku</t>
        </is>
      </c>
      <c r="B8" s="11" t="inlineStr">
        <is>
          <t>The cheap navigator's BRAIN — reads the menu and picks the word to say (no, front, general).</t>
        </is>
      </c>
      <c r="C8" s="12">
        <f>IF($B$35=1,$B$28,0)</f>
        <v/>
      </c>
      <c r="D8" s="12">
        <f>IF($B$35=1,$B$28,0)</f>
        <v/>
      </c>
      <c r="E8" s="12">
        <f>IF($B$35=1,$B$28,0)</f>
        <v/>
      </c>
    </row>
    <row r="9" ht="34" customHeight="1">
      <c r="A9" s="7" t="inlineStr">
        <is>
          <t>Cheap Text-to-Speech</t>
        </is>
      </c>
      <c r="B9" s="8" t="inlineStr">
        <is>
          <t>The cheap navigator's MOUTH — speaks that word into the menu to move it forward.</t>
        </is>
      </c>
      <c r="C9" s="9">
        <f>IF($B$35=1,$B$29,0)</f>
        <v/>
      </c>
      <c r="D9" s="9">
        <f>IF($B$35=1,$B$29,0)</f>
        <v/>
      </c>
      <c r="E9" s="9">
        <f>IF($B$35=1,$B$29,0)</f>
        <v/>
      </c>
    </row>
    <row r="10" ht="34" customHeight="1">
      <c r="A10" s="10" t="inlineStr">
        <is>
          <t>Our bridge (button presses)</t>
        </is>
      </c>
      <c r="B10" s="11" t="inlineStr">
        <is>
          <t>Keypad stores only — our server plays the keypad tones at the right time. No AI, basically free.</t>
        </is>
      </c>
      <c r="C10" s="12">
        <f>0</f>
        <v/>
      </c>
      <c r="D10" s="12">
        <f>0</f>
        <v/>
      </c>
      <c r="E10" s="12">
        <f>0</f>
        <v/>
      </c>
    </row>
    <row r="11">
      <c r="A11" s="13" t="inlineStr">
        <is>
          <t>Subtotal to reach the human</t>
        </is>
      </c>
      <c r="C11" s="14">
        <f>SUM(C7:C10)</f>
        <v/>
      </c>
      <c r="D11" s="14">
        <f>SUM(D7:D10)</f>
        <v/>
      </c>
      <c r="E11" s="14">
        <f>SUM(E7:E10)</f>
        <v/>
      </c>
    </row>
    <row r="12">
      <c r="A12" s="6" t="inlineStr">
        <is>
          <t>②   TALK TO THE HUMAN     ·  this is what grows across the columns</t>
        </is>
      </c>
    </row>
    <row r="13" ht="34" customHeight="1">
      <c r="A13" s="7" t="inlineStr">
        <is>
          <t>ElevenLabs Conversational AI</t>
        </is>
      </c>
      <c r="B13" s="8" t="inlineStr">
        <is>
          <t>Premium voice engine for the human chat: speech-to-text, the voice, and turn-taking. Billed only while connected to the person.</t>
        </is>
      </c>
      <c r="C13" s="9">
        <f>30*$B$30/60</f>
        <v/>
      </c>
      <c r="D13" s="9">
        <f>45*$B$30/60</f>
        <v/>
      </c>
      <c r="E13" s="9">
        <f>60*$B$30/60</f>
        <v/>
      </c>
    </row>
    <row r="14" ht="34" customHeight="1">
      <c r="A14" s="10" t="inlineStr">
        <is>
          <t>Claude Sonnet 4.6</t>
        </is>
      </c>
      <c r="B14" s="11" t="inlineStr">
        <is>
          <t>The smart brain during the human conversation — understands the clerk and answers naturally.</t>
        </is>
      </c>
      <c r="C14" s="12">
        <f>30*$B$31/60</f>
        <v/>
      </c>
      <c r="D14" s="12">
        <f>45*$B$31/60</f>
        <v/>
      </c>
      <c r="E14" s="12">
        <f>60*$B$31/60</f>
        <v/>
      </c>
    </row>
    <row r="15">
      <c r="A15" s="13" t="inlineStr">
        <is>
          <t>Subtotal to talk to the human</t>
        </is>
      </c>
      <c r="C15" s="14">
        <f>SUM(C13:C14)</f>
        <v/>
      </c>
      <c r="D15" s="14">
        <f>SUM(D13:D14)</f>
        <v/>
      </c>
      <c r="E15" s="14">
        <f>SUM(E13:E14)</f>
        <v/>
      </c>
    </row>
    <row r="16">
      <c r="A16" s="6" t="inlineStr">
        <is>
          <t>③   THE LINE     ·  runs the whole call</t>
        </is>
      </c>
    </row>
    <row r="17" ht="34" customHeight="1">
      <c r="A17" s="7" t="inlineStr">
        <is>
          <t>Twilio Voice</t>
        </is>
      </c>
      <c r="B17" s="8" t="inlineStr">
        <is>
          <t>The phone line — dials the store, carries the audio both ways, shows your caller ID.</t>
        </is>
      </c>
      <c r="C17" s="9">
        <f>($B$25+30)*$B$26/60</f>
        <v/>
      </c>
      <c r="D17" s="9">
        <f>($B$25+45)*$B$26/60</f>
        <v/>
      </c>
      <c r="E17" s="9">
        <f>($B$25+60)*$B$26/60</f>
        <v/>
      </c>
    </row>
    <row r="18" ht="34" customHeight="1">
      <c r="A18" s="10" t="inlineStr">
        <is>
          <t>Railway server</t>
        </is>
      </c>
      <c r="B18" s="11" t="inlineStr">
        <is>
          <t>Our app that runs the call and bridges the audio.</t>
        </is>
      </c>
      <c r="C18" s="12">
        <f>$B$32</f>
        <v/>
      </c>
      <c r="D18" s="12">
        <f>$B$32</f>
        <v/>
      </c>
      <c r="E18" s="12">
        <f>$B$32</f>
        <v/>
      </c>
    </row>
    <row r="19" ht="34" customHeight="1">
      <c r="A19" s="7" t="inlineStr">
        <is>
          <t>Twilio number rental</t>
        </is>
      </c>
      <c r="B19" s="8" t="inlineStr">
        <is>
          <t>Monthly cost of the phone number, spread across calls.</t>
        </is>
      </c>
      <c r="C19" s="9">
        <f>$B$33</f>
        <v/>
      </c>
      <c r="D19" s="9">
        <f>$B$33</f>
        <v/>
      </c>
      <c r="E19" s="9">
        <f>$B$33</f>
        <v/>
      </c>
    </row>
    <row r="20">
      <c r="A20" s="13" t="inlineStr">
        <is>
          <t>Subtotal for the line</t>
        </is>
      </c>
      <c r="C20" s="14">
        <f>SUM(C17:C19)</f>
        <v/>
      </c>
      <c r="D20" s="14">
        <f>SUM(D17:D19)</f>
        <v/>
      </c>
      <c r="E20" s="14">
        <f>SUM(E17:E19)</f>
        <v/>
      </c>
    </row>
    <row r="21" ht="28" customHeight="1">
      <c r="A21" s="15" t="inlineStr">
        <is>
          <t>TOTAL COST TO SERVE</t>
        </is>
      </c>
      <c r="C21" s="16">
        <f>C11+C15+C20</f>
        <v/>
      </c>
      <c r="D21" s="16">
        <f>D11+D15+D20</f>
        <v/>
      </c>
      <c r="E21" s="16">
        <f>E11+E15+E20</f>
        <v/>
      </c>
    </row>
    <row r="22" ht="22" customHeight="1">
      <c r="A22" s="17" t="inlineStr">
        <is>
          <t>Your margin at the price below</t>
        </is>
      </c>
      <c r="C22" s="18">
        <f>$B$34-C21</f>
        <v/>
      </c>
      <c r="D22" s="18">
        <f>$B$34-D21</f>
        <v/>
      </c>
      <c r="E22" s="18">
        <f>$B$34-E21</f>
        <v/>
      </c>
    </row>
    <row r="24">
      <c r="A24" s="19" t="inlineStr">
        <is>
          <t>ASSUMPTIONS &amp; RATES   ·   edit any value and the whole table recalculates</t>
        </is>
      </c>
    </row>
    <row r="25" ht="22" customHeight="1">
      <c r="A25" s="8" t="inlineStr">
        <is>
          <t>Reach-the-human seconds (auto-set by the type)</t>
        </is>
      </c>
      <c r="B25" s="20">
        <f>IF(B2="VOICE (voice only tree - CVS)",30,IF(B2="KEYPAD (no voice tree - Walgreens)",20,5))</f>
        <v/>
      </c>
      <c r="C25" s="21" t="n"/>
      <c r="D25" s="21" t="n"/>
      <c r="E25" s="21" t="n"/>
    </row>
    <row r="26" ht="22" customHeight="1">
      <c r="A26" s="11" t="inlineStr">
        <is>
          <t>Twilio carrier, $ per minute</t>
        </is>
      </c>
      <c r="B26" s="22" t="n">
        <v>0.014</v>
      </c>
      <c r="C26" s="23" t="n"/>
      <c r="D26" s="23" t="n"/>
      <c r="E26" s="23" t="n"/>
    </row>
    <row r="27" ht="22" customHeight="1">
      <c r="A27" s="8" t="inlineStr">
        <is>
          <t>Twilio Speech-to-Text, $ per minute</t>
        </is>
      </c>
      <c r="B27" s="24" t="n">
        <v>0.02</v>
      </c>
      <c r="C27" s="21" t="n"/>
      <c r="D27" s="21" t="n"/>
      <c r="E27" s="21" t="n"/>
    </row>
    <row r="28" ht="22" customHeight="1">
      <c r="A28" s="11" t="inlineStr">
        <is>
          <t>Claude Haiku, flat $ per call</t>
        </is>
      </c>
      <c r="B28" s="22" t="n">
        <v>0.002</v>
      </c>
      <c r="C28" s="23" t="n"/>
      <c r="D28" s="23" t="n"/>
      <c r="E28" s="23" t="n"/>
    </row>
    <row r="29" ht="22" customHeight="1">
      <c r="A29" s="8" t="inlineStr">
        <is>
          <t>Cheap Text-to-Speech, flat $ per call</t>
        </is>
      </c>
      <c r="B29" s="24" t="n">
        <v>0.001</v>
      </c>
      <c r="C29" s="21" t="n"/>
      <c r="D29" s="21" t="n"/>
      <c r="E29" s="21" t="n"/>
    </row>
    <row r="30" ht="22" customHeight="1">
      <c r="A30" s="11" t="inlineStr">
        <is>
          <t>ElevenLabs, $ per minute</t>
        </is>
      </c>
      <c r="B30" s="22" t="n">
        <v>0.1</v>
      </c>
      <c r="C30" s="23" t="n"/>
      <c r="D30" s="23" t="n"/>
      <c r="E30" s="23" t="n"/>
    </row>
    <row r="31" ht="22" customHeight="1">
      <c r="A31" s="8" t="inlineStr">
        <is>
          <t>Claude Sonnet 4.6, $ per minute</t>
        </is>
      </c>
      <c r="B31" s="24" t="n">
        <v>0.024</v>
      </c>
      <c r="C31" s="21" t="n"/>
      <c r="D31" s="21" t="n"/>
      <c r="E31" s="21" t="n"/>
    </row>
    <row r="32" ht="22" customHeight="1">
      <c r="A32" s="11" t="inlineStr">
        <is>
          <t>Railway server, flat $ per call</t>
        </is>
      </c>
      <c r="B32" s="22" t="n">
        <v>0.001</v>
      </c>
      <c r="C32" s="23" t="n"/>
      <c r="D32" s="23" t="n"/>
      <c r="E32" s="23" t="n"/>
    </row>
    <row r="33" ht="22" customHeight="1">
      <c r="A33" s="8" t="inlineStr">
        <is>
          <t>Twilio number, flat $ per call</t>
        </is>
      </c>
      <c r="B33" s="24" t="n">
        <v>0.001</v>
      </c>
      <c r="C33" s="21" t="n"/>
      <c r="D33" s="21" t="n"/>
      <c r="E33" s="21" t="n"/>
    </row>
    <row r="34" ht="22" customHeight="1">
      <c r="A34" s="11" t="inlineStr">
        <is>
          <t>Selling price per check</t>
        </is>
      </c>
      <c r="B34" s="25" t="n">
        <v>0.25</v>
      </c>
      <c r="C34" s="23" t="n"/>
      <c r="D34" s="23" t="n"/>
      <c r="E34" s="23" t="n"/>
    </row>
    <row r="35" ht="22" customHeight="1">
      <c r="A35" s="8" t="inlineStr">
        <is>
          <t>(helper) Is Voice</t>
        </is>
      </c>
      <c r="B35" s="20">
        <f>IF(B2="VOICE (voice only tree - CVS)",1,0)</f>
        <v/>
      </c>
      <c r="C35" s="21" t="n"/>
      <c r="D35" s="21" t="n"/>
      <c r="E35" s="21" t="n"/>
    </row>
    <row r="36" ht="22" customHeight="1">
      <c r="A36" s="11" t="inlineStr">
        <is>
          <t>(helper) Is Keypad</t>
        </is>
      </c>
      <c r="B36" s="26">
        <f>IF(B2="KEYPAD (no voice tree - Walgreens)",1,0)</f>
        <v/>
      </c>
      <c r="C36" s="23" t="n"/>
      <c r="D36" s="23" t="n"/>
      <c r="E36" s="23" t="n"/>
    </row>
  </sheetData>
  <mergeCells count="13">
    <mergeCell ref="A20:B20"/>
    <mergeCell ref="A12:E12"/>
    <mergeCell ref="A21:B21"/>
    <mergeCell ref="A15:B15"/>
    <mergeCell ref="B4:E4"/>
    <mergeCell ref="A2:E2"/>
    <mergeCell ref="A16:E16"/>
    <mergeCell ref="A24:E24"/>
    <mergeCell ref="A11:B11"/>
    <mergeCell ref="A1:E1"/>
    <mergeCell ref="A5:E5"/>
    <mergeCell ref="A6:E6"/>
    <mergeCell ref="A22:B22"/>
  </mergeCells>
  <dataValidations count="1">
    <dataValidation sqref="B4" showDropDown="0" showInputMessage="0" showErrorMessage="0" allowBlank="0" type="list">
      <formula1>"DIRECT CALL (no trees - Ross),KEYPAD (no voice tree - Walgreens),VOICE (voice only tree - CVS)"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2026-06-16T00:44:04Z</dcterms:created>
  <dcterms:modified xsi:type="dcterms:W3CDTF">2026-06-16T00:44:04Z</dcterms:modified>
</cp:coreProperties>
</file>